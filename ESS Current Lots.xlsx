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icas\Documents\LOCAL_DRIVE\"/>
    </mc:Choice>
  </mc:AlternateContent>
  <xr:revisionPtr revIDLastSave="0" documentId="8_{62A3B06D-F9AB-4B78-87EF-E4F3E45D172C}" xr6:coauthVersionLast="47" xr6:coauthVersionMax="47" xr10:uidLastSave="{00000000-0000-0000-0000-000000000000}"/>
  <bookViews>
    <workbookView xWindow="14295" yWindow="7740" windowWidth="14610" windowHeight="7845" tabRatio="688" activeTab="1" xr2:uid="{F856DA7B-FB10-4A42-A93A-AC67FFC85E94}"/>
  </bookViews>
  <sheets>
    <sheet name="TGWDSXX959" sheetId="2" r:id="rId1"/>
    <sheet name="TGWD13A84" sheetId="1" r:id="rId2"/>
    <sheet name="TGWBS00R31" sheetId="3" r:id="rId3"/>
    <sheet name="TGWBS02G3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4" l="1"/>
  <c r="M8" i="4"/>
  <c r="N8" i="4"/>
  <c r="L6" i="4"/>
  <c r="M6" i="4"/>
  <c r="M5" i="4"/>
  <c r="L5" i="4"/>
  <c r="M2" i="4"/>
  <c r="L2" i="4"/>
  <c r="L3" i="4" s="1"/>
  <c r="L4" i="4" s="1"/>
  <c r="N15" i="3"/>
  <c r="N14" i="3"/>
  <c r="N13" i="3"/>
  <c r="N12" i="3"/>
  <c r="N11" i="3"/>
  <c r="N10" i="3"/>
  <c r="N9" i="3"/>
  <c r="N8" i="3"/>
  <c r="M5" i="3"/>
  <c r="M6" i="3" s="1"/>
  <c r="L5" i="3"/>
  <c r="L6" i="3" s="1"/>
  <c r="L7" i="3" s="1"/>
  <c r="M2" i="3"/>
  <c r="L2" i="3"/>
  <c r="L3" i="3" s="1"/>
  <c r="L4" i="3" s="1"/>
  <c r="M4" i="2"/>
  <c r="M3" i="2"/>
  <c r="M2" i="2"/>
  <c r="N15" i="2"/>
  <c r="N14" i="2"/>
  <c r="N13" i="2"/>
  <c r="N12" i="2"/>
  <c r="N11" i="2"/>
  <c r="N10" i="2"/>
  <c r="N9" i="2"/>
  <c r="N8" i="2"/>
  <c r="M5" i="2"/>
  <c r="M6" i="2" s="1"/>
  <c r="L5" i="2"/>
  <c r="L6" i="2" s="1"/>
  <c r="L7" i="2" s="1"/>
  <c r="L2" i="2"/>
  <c r="L3" i="2" s="1"/>
  <c r="L4" i="2" s="1"/>
  <c r="L7" i="4" l="1"/>
  <c r="N2" i="4"/>
  <c r="M7" i="4"/>
  <c r="N7" i="4" s="1"/>
  <c r="N6" i="4"/>
  <c r="M3" i="4"/>
  <c r="M4" i="4" s="1"/>
  <c r="N4" i="4" s="1"/>
  <c r="N5" i="4"/>
  <c r="N2" i="3"/>
  <c r="M7" i="3"/>
  <c r="N7" i="3" s="1"/>
  <c r="N6" i="3"/>
  <c r="M3" i="3"/>
  <c r="N5" i="3"/>
  <c r="N4" i="2"/>
  <c r="N3" i="2"/>
  <c r="M7" i="2"/>
  <c r="N7" i="2" s="1"/>
  <c r="N6" i="2"/>
  <c r="N2" i="2"/>
  <c r="N5" i="2"/>
  <c r="M7" i="1"/>
  <c r="L7" i="1"/>
  <c r="M6" i="1"/>
  <c r="L6" i="1"/>
  <c r="M5" i="1"/>
  <c r="L5" i="1"/>
  <c r="L4" i="1"/>
  <c r="M4" i="1"/>
  <c r="L3" i="1"/>
  <c r="M3" i="1"/>
  <c r="N3" i="1"/>
  <c r="N5" i="1"/>
  <c r="N6" i="1"/>
  <c r="N7" i="1"/>
  <c r="L2" i="1"/>
  <c r="M2" i="1"/>
  <c r="N2" i="1"/>
  <c r="N3" i="4" l="1"/>
  <c r="M4" i="3"/>
  <c r="N4" i="3" s="1"/>
  <c r="N3" i="3"/>
  <c r="N4" i="1"/>
</calcChain>
</file>

<file path=xl/sharedStrings.xml><?xml version="1.0" encoding="utf-8"?>
<sst xmlns="http://schemas.openxmlformats.org/spreadsheetml/2006/main" count="130" uniqueCount="46">
  <si>
    <t>S100_1</t>
  </si>
  <si>
    <t>TGWDS13A84</t>
  </si>
  <si>
    <t>ES9291Q</t>
  </si>
  <si>
    <t>70C_FT1</t>
  </si>
  <si>
    <t>TIMESTAMP</t>
  </si>
  <si>
    <t>TESTER</t>
  </si>
  <si>
    <t>LOT_ID</t>
  </si>
  <si>
    <t>TAG_ID</t>
  </si>
  <si>
    <t>PRODUCT_NAME</t>
  </si>
  <si>
    <t>STEP</t>
  </si>
  <si>
    <t>IN</t>
  </si>
  <si>
    <t>BIN1</t>
  </si>
  <si>
    <t>BIN2</t>
  </si>
  <si>
    <t>REJECT</t>
  </si>
  <si>
    <t>B34_70C_FT1-RT1</t>
  </si>
  <si>
    <t>YIELD</t>
  </si>
  <si>
    <t>OUT</t>
  </si>
  <si>
    <t>B34_70C_FT1-RT2</t>
  </si>
  <si>
    <t>1_25C_FT2</t>
  </si>
  <si>
    <t xml:space="preserve">B34_25C_FT2-RT1	</t>
  </si>
  <si>
    <t>25C_FT1-RT2</t>
  </si>
  <si>
    <t>HP-2</t>
  </si>
  <si>
    <t>TGWDSXX959</t>
  </si>
  <si>
    <t>ES982X</t>
  </si>
  <si>
    <t>FT</t>
  </si>
  <si>
    <t>RT1</t>
  </si>
  <si>
    <t>BIN2R</t>
  </si>
  <si>
    <t>RT2</t>
  </si>
  <si>
    <t xml:space="preserve">	25C_BIN1_25C_FT-1</t>
  </si>
  <si>
    <t>AP-1</t>
  </si>
  <si>
    <t>FT1</t>
  </si>
  <si>
    <t>TGWBS00R31</t>
  </si>
  <si>
    <t>ES9820Q</t>
  </si>
  <si>
    <t>S100_2</t>
  </si>
  <si>
    <t>TGWBS02G30</t>
  </si>
  <si>
    <t>ES9842QPRO</t>
  </si>
  <si>
    <t>B34_25C_FT1-RT1</t>
  </si>
  <si>
    <t>25CC_FT1-RT2</t>
  </si>
  <si>
    <t>AP-2</t>
  </si>
  <si>
    <t>ES9842</t>
  </si>
  <si>
    <t>25C_BIN2_65C_FT-1</t>
  </si>
  <si>
    <t>25C_BIN1_65C_FT-1</t>
  </si>
  <si>
    <t>25C_BIN1_65C_RT-1</t>
  </si>
  <si>
    <t>25C_BIN1_65C_RT-2</t>
  </si>
  <si>
    <t>25C_BIN1_65C_RT-3</t>
  </si>
  <si>
    <t>B34_25C_FT2-RT3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</si>
</sst>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Border="1" applyAlignment="1">
      <alignment wrapText="1"/>
    </xf>
    <xf numFmtId="10" fontId="2" fillId="0" borderId="0" xfId="1" applyNumberFormat="1" applyFont="1" applyBorder="1" applyAlignment="1">
      <alignment wrapText="1"/>
    </xf>
    <xf numFmtId="0" fontId="0" fillId="0" borderId="0" xfId="0" applyBorder="1"/>
    <xf numFmtId="22" fontId="2" fillId="0" borderId="0" xfId="0" applyNumberFormat="1" applyFont="1" applyBorder="1" applyAlignment="1">
      <alignment horizontal="right" wrapText="1"/>
    </xf>
    <xf numFmtId="0" fontId="2" fillId="0" borderId="0" xfId="0" applyFont="1" applyBorder="1" applyAlignment="1">
      <alignment horizontal="right" wrapText="1"/>
    </xf>
    <xf numFmtId="0" fontId="3" fillId="0" borderId="0" xfId="0" applyFont="1" applyBorder="1" applyAlignment="1">
      <alignment wrapText="1"/>
    </xf>
    <xf numFmtId="22" fontId="0" fillId="0" borderId="0" xfId="0" applyNumberFormat="1" applyBorder="1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right" wrapText="1"/>
    </xf>
    <xf numFmtId="10" fontId="0" fillId="0" borderId="0" xfId="1" applyNumberFormat="1" applyFont="1" applyBorder="1"/>
    <xf numFmtId="0" fontId="4" fillId="0" borderId="0" xfId="0" applyFont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5131-8D96-4845-A106-1A841B0FA7CC}">
  <dimension ref="A1:AC15"/>
  <sheetViews>
    <sheetView workbookViewId="0">
      <selection activeCell="B5" sqref="B5"/>
    </sheetView>
  </sheetViews>
  <sheetFormatPr defaultRowHeight="15" x14ac:dyDescent="0.25"/>
  <cols>
    <col min="1" max="1" width="14.42578125" style="3" bestFit="1" customWidth="1"/>
    <col min="2" max="2" width="8.140625" style="3" bestFit="1" customWidth="1"/>
    <col min="3" max="3" width="13.28515625" style="3" customWidth="1"/>
    <col min="4" max="4" width="8" style="3" bestFit="1" customWidth="1"/>
    <col min="5" max="5" width="9" style="3" bestFit="1" customWidth="1"/>
    <col min="6" max="6" width="20" style="3" customWidth="1"/>
    <col min="7" max="8" width="7" style="3" bestFit="1" customWidth="1"/>
    <col min="9" max="9" width="5" style="3" bestFit="1" customWidth="1"/>
    <col min="10" max="10" width="8" style="3" bestFit="1" customWidth="1"/>
    <col min="11" max="11" width="2.140625" style="3" customWidth="1"/>
    <col min="12" max="13" width="9.140625" style="3"/>
    <col min="14" max="14" width="8.28515625" style="10" bestFit="1" customWidth="1"/>
    <col min="15" max="16384" width="9.140625" style="3"/>
  </cols>
  <sheetData>
    <row r="1" spans="1:29" ht="26.2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26</v>
      </c>
      <c r="J1" s="1" t="s">
        <v>13</v>
      </c>
      <c r="K1" s="1"/>
      <c r="L1" s="1" t="s">
        <v>10</v>
      </c>
      <c r="M1" s="1" t="s">
        <v>16</v>
      </c>
      <c r="N1" s="2" t="s">
        <v>15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4">
        <v>46050.455555555556</v>
      </c>
      <c r="B2" s="1" t="s">
        <v>21</v>
      </c>
      <c r="C2" s="1" t="s">
        <v>22</v>
      </c>
      <c r="D2" s="1">
        <v>2640424</v>
      </c>
      <c r="E2" s="1" t="s">
        <v>23</v>
      </c>
      <c r="F2" s="1" t="s">
        <v>24</v>
      </c>
      <c r="G2" s="5">
        <v>135398</v>
      </c>
      <c r="H2" s="5">
        <v>130996</v>
      </c>
      <c r="I2" s="5">
        <v>3024</v>
      </c>
      <c r="J2" s="5">
        <v>1378</v>
      </c>
      <c r="K2" s="1"/>
      <c r="L2" s="1">
        <f>+G2</f>
        <v>135398</v>
      </c>
      <c r="M2" s="1">
        <f>+H2</f>
        <v>130996</v>
      </c>
      <c r="N2" s="2">
        <f>+M2/L2</f>
        <v>0.967488441483626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4">
        <v>46050.78125</v>
      </c>
      <c r="B3" s="1" t="s">
        <v>21</v>
      </c>
      <c r="C3" s="1" t="s">
        <v>22</v>
      </c>
      <c r="D3" s="1">
        <v>2640424</v>
      </c>
      <c r="E3" s="1" t="s">
        <v>23</v>
      </c>
      <c r="F3" s="1" t="s">
        <v>25</v>
      </c>
      <c r="G3" s="5">
        <v>4425</v>
      </c>
      <c r="H3" s="5">
        <v>934</v>
      </c>
      <c r="I3" s="5">
        <v>2984</v>
      </c>
      <c r="J3" s="5">
        <v>507</v>
      </c>
      <c r="K3" s="1"/>
      <c r="L3" s="1">
        <f>+L2</f>
        <v>135398</v>
      </c>
      <c r="M3" s="1">
        <f>+H3+M2</f>
        <v>131930</v>
      </c>
      <c r="N3" s="2">
        <f t="shared" ref="N3:N15" si="0">+M3/L3</f>
        <v>0.97438662314066682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4">
        <v>46051.384027777778</v>
      </c>
      <c r="B4" s="1" t="s">
        <v>21</v>
      </c>
      <c r="C4" s="1" t="s">
        <v>22</v>
      </c>
      <c r="D4" s="1">
        <v>2640424</v>
      </c>
      <c r="E4" s="1" t="s">
        <v>23</v>
      </c>
      <c r="F4" s="1" t="s">
        <v>27</v>
      </c>
      <c r="G4" s="5">
        <v>3491</v>
      </c>
      <c r="H4" s="5">
        <v>8</v>
      </c>
      <c r="I4" s="5">
        <v>2987</v>
      </c>
      <c r="J4" s="5">
        <v>496</v>
      </c>
      <c r="L4" s="1">
        <f>+L3</f>
        <v>135398</v>
      </c>
      <c r="M4" s="1">
        <f>+H4+M3</f>
        <v>131938</v>
      </c>
      <c r="N4" s="2">
        <f t="shared" si="0"/>
        <v>0.97444570820839305</v>
      </c>
    </row>
    <row r="5" spans="1:29" x14ac:dyDescent="0.25">
      <c r="A5" s="4"/>
      <c r="B5" s="1" t="s">
        <v>29</v>
      </c>
      <c r="C5" s="1"/>
      <c r="D5" s="1"/>
      <c r="E5" s="1"/>
      <c r="F5" s="1" t="s">
        <v>28</v>
      </c>
      <c r="G5" s="5"/>
      <c r="H5" s="5"/>
      <c r="I5" s="5"/>
      <c r="J5" s="5"/>
      <c r="L5" s="1">
        <f>+G5</f>
        <v>0</v>
      </c>
      <c r="M5" s="1">
        <f>+H5+I5</f>
        <v>0</v>
      </c>
      <c r="N5" s="2" t="e">
        <f t="shared" si="0"/>
        <v>#DIV/0!</v>
      </c>
    </row>
    <row r="6" spans="1:29" x14ac:dyDescent="0.25">
      <c r="A6" s="7"/>
      <c r="B6" s="8"/>
      <c r="C6" s="8"/>
      <c r="E6" s="8"/>
      <c r="F6" s="8"/>
      <c r="G6" s="9"/>
      <c r="H6" s="9"/>
      <c r="I6" s="9"/>
      <c r="J6" s="9"/>
      <c r="L6" s="1">
        <f>+L5</f>
        <v>0</v>
      </c>
      <c r="M6" s="1">
        <f>+H6+I6+M5</f>
        <v>0</v>
      </c>
      <c r="N6" s="2" t="e">
        <f t="shared" si="0"/>
        <v>#DIV/0!</v>
      </c>
    </row>
    <row r="7" spans="1:29" x14ac:dyDescent="0.25">
      <c r="A7" s="7"/>
      <c r="B7" s="1"/>
      <c r="C7" s="1"/>
      <c r="D7" s="1"/>
      <c r="E7" s="1"/>
      <c r="F7" s="8"/>
      <c r="G7" s="9"/>
      <c r="H7" s="9"/>
      <c r="I7" s="9"/>
      <c r="J7" s="9"/>
      <c r="L7" s="1">
        <f>+L6</f>
        <v>0</v>
      </c>
      <c r="M7" s="1">
        <f>+H7+I7+M6</f>
        <v>0</v>
      </c>
      <c r="N7" s="2" t="e">
        <f t="shared" si="0"/>
        <v>#DIV/0!</v>
      </c>
    </row>
    <row r="8" spans="1:29" x14ac:dyDescent="0.25">
      <c r="N8" s="2" t="e">
        <f t="shared" si="0"/>
        <v>#DIV/0!</v>
      </c>
    </row>
    <row r="9" spans="1:29" x14ac:dyDescent="0.25">
      <c r="N9" s="2" t="e">
        <f t="shared" si="0"/>
        <v>#DIV/0!</v>
      </c>
    </row>
    <row r="10" spans="1:29" x14ac:dyDescent="0.25">
      <c r="N10" s="2" t="e">
        <f t="shared" si="0"/>
        <v>#DIV/0!</v>
      </c>
    </row>
    <row r="11" spans="1:29" x14ac:dyDescent="0.25">
      <c r="N11" s="2" t="e">
        <f t="shared" si="0"/>
        <v>#DIV/0!</v>
      </c>
    </row>
    <row r="12" spans="1:29" x14ac:dyDescent="0.25">
      <c r="N12" s="2" t="e">
        <f t="shared" si="0"/>
        <v>#DIV/0!</v>
      </c>
    </row>
    <row r="13" spans="1:29" x14ac:dyDescent="0.25">
      <c r="N13" s="2" t="e">
        <f t="shared" si="0"/>
        <v>#DIV/0!</v>
      </c>
    </row>
    <row r="14" spans="1:29" x14ac:dyDescent="0.25">
      <c r="N14" s="2" t="e">
        <f t="shared" si="0"/>
        <v>#DIV/0!</v>
      </c>
    </row>
    <row r="15" spans="1:29" x14ac:dyDescent="0.25">
      <c r="N15" s="2" t="e">
        <f t="shared" si="0"/>
        <v>#DIV/0!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558F4-6057-4F2C-81C5-5915C15CCD8D}">
  <dimension ref="A1:AC15"/>
  <sheetViews>
    <sheetView tabSelected="1" workbookViewId="0">
      <selection activeCell="D9" sqref="D9"/>
    </sheetView>
  </sheetViews>
  <sheetFormatPr defaultRowHeight="15" x14ac:dyDescent="0.25"/>
  <cols>
    <col min="1" max="1" width="14.42578125" style="3" bestFit="1" customWidth="1"/>
    <col min="2" max="2" width="8.140625" style="3" bestFit="1" customWidth="1"/>
    <col min="3" max="3" width="13.28515625" style="3" customWidth="1"/>
    <col min="4" max="4" width="8" style="3" bestFit="1" customWidth="1"/>
    <col min="5" max="5" width="9" style="3" bestFit="1" customWidth="1"/>
    <col min="6" max="6" width="18.28515625" style="3" bestFit="1" customWidth="1"/>
    <col min="7" max="8" width="6" style="3" bestFit="1" customWidth="1"/>
    <col min="9" max="9" width="5" style="3" bestFit="1" customWidth="1"/>
    <col min="10" max="10" width="8" style="3" bestFit="1" customWidth="1"/>
    <col min="11" max="11" width="2.140625" style="3" customWidth="1"/>
    <col min="12" max="13" width="9.140625" style="3"/>
    <col min="14" max="14" width="7.28515625" style="10" bestFit="1" customWidth="1"/>
    <col min="15" max="16384" width="9.140625" style="3"/>
  </cols>
  <sheetData>
    <row r="1" spans="1:29" ht="26.2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/>
      <c r="L1" s="1" t="s">
        <v>10</v>
      </c>
      <c r="M1" s="1" t="s">
        <v>16</v>
      </c>
      <c r="N1" s="2" t="s">
        <v>15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4">
        <v>46050.515277777777</v>
      </c>
      <c r="B2" s="1" t="s">
        <v>0</v>
      </c>
      <c r="C2" s="1" t="s">
        <v>1</v>
      </c>
      <c r="D2" s="1">
        <v>1544801</v>
      </c>
      <c r="E2" s="1" t="s">
        <v>2</v>
      </c>
      <c r="F2" s="1" t="s">
        <v>3</v>
      </c>
      <c r="G2" s="5">
        <v>64079</v>
      </c>
      <c r="H2" s="5">
        <v>54094</v>
      </c>
      <c r="I2" s="5">
        <v>0</v>
      </c>
      <c r="J2" s="5">
        <v>9850</v>
      </c>
      <c r="K2" s="1"/>
      <c r="L2" s="1">
        <f>+G2</f>
        <v>64079</v>
      </c>
      <c r="M2" s="1">
        <f>+H2+I2</f>
        <v>54094</v>
      </c>
      <c r="N2" s="2">
        <f>+M2/L2</f>
        <v>0.84417671936203753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4">
        <v>46051.368055555555</v>
      </c>
      <c r="B3" s="1" t="s">
        <v>0</v>
      </c>
      <c r="C3" s="1" t="s">
        <v>1</v>
      </c>
      <c r="D3" s="1">
        <v>1544801</v>
      </c>
      <c r="E3" s="1" t="s">
        <v>2</v>
      </c>
      <c r="F3" s="1" t="s">
        <v>14</v>
      </c>
      <c r="G3" s="5">
        <v>9851</v>
      </c>
      <c r="H3" s="5">
        <v>5745</v>
      </c>
      <c r="I3" s="5">
        <v>0</v>
      </c>
      <c r="J3" s="5">
        <v>4075</v>
      </c>
      <c r="K3" s="1"/>
      <c r="L3" s="1">
        <f>+L2</f>
        <v>64079</v>
      </c>
      <c r="M3" s="1">
        <f>+H3+I3+M2</f>
        <v>59839</v>
      </c>
      <c r="N3" s="2">
        <f t="shared" ref="N3:N15" si="0">+M3/L3</f>
        <v>0.93383167652429033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4">
        <v>46051.756249999999</v>
      </c>
      <c r="B4" s="1" t="s">
        <v>0</v>
      </c>
      <c r="C4" s="1" t="s">
        <v>1</v>
      </c>
      <c r="D4" s="1">
        <v>1544801</v>
      </c>
      <c r="E4" s="1" t="s">
        <v>2</v>
      </c>
      <c r="F4" s="1" t="s">
        <v>17</v>
      </c>
      <c r="G4" s="5">
        <v>4076</v>
      </c>
      <c r="H4" s="5">
        <v>579</v>
      </c>
      <c r="I4" s="5">
        <v>0</v>
      </c>
      <c r="J4" s="5">
        <v>3478</v>
      </c>
      <c r="L4" s="1">
        <f>+L3</f>
        <v>64079</v>
      </c>
      <c r="M4" s="1">
        <f>+H4+I4+M3</f>
        <v>60418</v>
      </c>
      <c r="N4" s="2">
        <f t="shared" si="0"/>
        <v>0.94286739805552522</v>
      </c>
    </row>
    <row r="5" spans="1:29" ht="15.75" x14ac:dyDescent="0.25">
      <c r="A5" s="4">
        <v>46059.614583333336</v>
      </c>
      <c r="B5" s="1" t="s">
        <v>0</v>
      </c>
      <c r="C5" s="1" t="s">
        <v>1</v>
      </c>
      <c r="D5" s="1">
        <v>1544801</v>
      </c>
      <c r="E5" s="1" t="s">
        <v>2</v>
      </c>
      <c r="F5" s="6" t="s">
        <v>18</v>
      </c>
      <c r="G5" s="5">
        <v>60411</v>
      </c>
      <c r="H5" s="5">
        <v>40723</v>
      </c>
      <c r="I5" s="5">
        <v>0</v>
      </c>
      <c r="J5" s="5">
        <v>19675</v>
      </c>
      <c r="L5" s="1">
        <f>+G5</f>
        <v>60411</v>
      </c>
      <c r="M5" s="1">
        <f>+H5+I5</f>
        <v>40723</v>
      </c>
      <c r="N5" s="2">
        <f t="shared" si="0"/>
        <v>0.67409908791445261</v>
      </c>
    </row>
    <row r="6" spans="1:29" x14ac:dyDescent="0.25">
      <c r="A6" s="7">
        <v>46062.675023148149</v>
      </c>
      <c r="B6" s="8" t="s">
        <v>0</v>
      </c>
      <c r="C6" s="8" t="s">
        <v>1</v>
      </c>
      <c r="D6" s="1">
        <v>1544801</v>
      </c>
      <c r="E6" s="8" t="s">
        <v>2</v>
      </c>
      <c r="F6" s="8" t="s">
        <v>19</v>
      </c>
      <c r="G6" s="9">
        <v>19623</v>
      </c>
      <c r="H6" s="9">
        <v>16456</v>
      </c>
      <c r="I6" s="9">
        <v>0</v>
      </c>
      <c r="J6" s="9">
        <v>3162</v>
      </c>
      <c r="L6" s="1">
        <f>+L5</f>
        <v>60411</v>
      </c>
      <c r="M6" s="1">
        <f>+H6+I6+M5</f>
        <v>57179</v>
      </c>
      <c r="N6" s="2">
        <f t="shared" si="0"/>
        <v>0.94649980963731772</v>
      </c>
    </row>
    <row r="7" spans="1:29" x14ac:dyDescent="0.25">
      <c r="A7" s="7">
        <v>46063.406817129631</v>
      </c>
      <c r="B7" s="1" t="s">
        <v>0</v>
      </c>
      <c r="C7" s="1" t="s">
        <v>1</v>
      </c>
      <c r="D7" s="1">
        <v>1544801</v>
      </c>
      <c r="E7" s="1" t="s">
        <v>2</v>
      </c>
      <c r="F7" s="8" t="s">
        <v>20</v>
      </c>
      <c r="G7" s="9">
        <v>3154</v>
      </c>
      <c r="H7" s="9">
        <v>947</v>
      </c>
      <c r="I7" s="9">
        <v>0</v>
      </c>
      <c r="J7" s="9">
        <v>2206</v>
      </c>
      <c r="L7" s="1">
        <f>+L6</f>
        <v>60411</v>
      </c>
      <c r="M7" s="1">
        <f>+H7+I7+M6</f>
        <v>58126</v>
      </c>
      <c r="N7" s="2">
        <f t="shared" si="0"/>
        <v>0.96217576269222493</v>
      </c>
    </row>
    <row r="8" spans="1:29" x14ac:dyDescent="0.25">
      <c r="B8" s="8" t="s">
        <v>0</v>
      </c>
      <c r="C8" s="8" t="s">
        <v>1</v>
      </c>
      <c r="E8" s="8" t="s">
        <v>2</v>
      </c>
      <c r="F8" s="8" t="s">
        <v>45</v>
      </c>
      <c r="N8" s="3"/>
    </row>
    <row r="9" spans="1:29" x14ac:dyDescent="0.25">
      <c r="N9" s="2"/>
    </row>
    <row r="10" spans="1:29" x14ac:dyDescent="0.25">
      <c r="N10" s="2"/>
    </row>
    <row r="11" spans="1:29" x14ac:dyDescent="0.25">
      <c r="N11" s="2"/>
    </row>
    <row r="12" spans="1:29" x14ac:dyDescent="0.25">
      <c r="N12" s="2"/>
    </row>
    <row r="13" spans="1:29" x14ac:dyDescent="0.25">
      <c r="N13" s="2"/>
    </row>
    <row r="14" spans="1:29" x14ac:dyDescent="0.25">
      <c r="N14" s="2"/>
    </row>
    <row r="15" spans="1:29" x14ac:dyDescent="0.25">
      <c r="N15" s="2"/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D2B1-A954-476D-8BCB-01E87B3D71F9}">
  <dimension ref="A1:AC15"/>
  <sheetViews>
    <sheetView workbookViewId="0">
      <selection activeCell="F4" sqref="F4"/>
    </sheetView>
  </sheetViews>
  <sheetFormatPr defaultRowHeight="15" x14ac:dyDescent="0.25"/>
  <cols>
    <col min="1" max="1" width="14.42578125" style="3" bestFit="1" customWidth="1"/>
    <col min="2" max="2" width="8.140625" style="3" bestFit="1" customWidth="1"/>
    <col min="3" max="3" width="13.28515625" style="3" customWidth="1"/>
    <col min="4" max="4" width="8" style="3" bestFit="1" customWidth="1"/>
    <col min="5" max="5" width="9" style="3" bestFit="1" customWidth="1"/>
    <col min="6" max="6" width="20" style="3" customWidth="1"/>
    <col min="7" max="8" width="7" style="3" bestFit="1" customWidth="1"/>
    <col min="9" max="9" width="5" style="3" bestFit="1" customWidth="1"/>
    <col min="10" max="10" width="8" style="3" bestFit="1" customWidth="1"/>
    <col min="11" max="11" width="2.140625" style="3" customWidth="1"/>
    <col min="12" max="13" width="9.140625" style="3"/>
    <col min="14" max="14" width="8.28515625" style="10" bestFit="1" customWidth="1"/>
    <col min="15" max="16384" width="9.140625" style="3"/>
  </cols>
  <sheetData>
    <row r="1" spans="1:29" ht="26.2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/>
      <c r="L1" s="1" t="s">
        <v>10</v>
      </c>
      <c r="M1" s="1" t="s">
        <v>16</v>
      </c>
      <c r="N1" s="2" t="s">
        <v>15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4"/>
      <c r="B2" s="1" t="s">
        <v>33</v>
      </c>
      <c r="C2" s="1" t="s">
        <v>31</v>
      </c>
      <c r="D2" s="1"/>
      <c r="E2" s="1" t="s">
        <v>32</v>
      </c>
      <c r="F2" s="1" t="s">
        <v>30</v>
      </c>
      <c r="G2" s="5">
        <v>56860</v>
      </c>
      <c r="H2" s="5"/>
      <c r="I2" s="5"/>
      <c r="J2" s="5"/>
      <c r="K2" s="1"/>
      <c r="L2" s="1">
        <f>+G2</f>
        <v>56860</v>
      </c>
      <c r="M2" s="1">
        <f>+H2</f>
        <v>0</v>
      </c>
      <c r="N2" s="2">
        <f>+M2/L2</f>
        <v>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4"/>
      <c r="B3" s="1"/>
      <c r="C3" s="1"/>
      <c r="D3" s="1"/>
      <c r="E3" s="1"/>
      <c r="F3" s="1"/>
      <c r="G3" s="5"/>
      <c r="H3" s="5"/>
      <c r="I3" s="5"/>
      <c r="J3" s="5"/>
      <c r="K3" s="1"/>
      <c r="L3" s="1">
        <f>+L2</f>
        <v>56860</v>
      </c>
      <c r="M3" s="1">
        <f>+H3+M2</f>
        <v>0</v>
      </c>
      <c r="N3" s="2">
        <f t="shared" ref="N3:N15" si="0">+M3/L3</f>
        <v>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4"/>
      <c r="B4" s="1"/>
      <c r="C4" s="1"/>
      <c r="D4" s="1"/>
      <c r="E4" s="1"/>
      <c r="F4" s="1"/>
      <c r="G4" s="5"/>
      <c r="H4" s="5"/>
      <c r="I4" s="5"/>
      <c r="J4" s="5"/>
      <c r="L4" s="1">
        <f>+L3</f>
        <v>56860</v>
      </c>
      <c r="M4" s="1">
        <f>+H4+M3</f>
        <v>0</v>
      </c>
      <c r="N4" s="2">
        <f t="shared" si="0"/>
        <v>0</v>
      </c>
    </row>
    <row r="5" spans="1:29" x14ac:dyDescent="0.25">
      <c r="A5" s="4"/>
      <c r="B5" s="1"/>
      <c r="C5" s="1"/>
      <c r="D5" s="1"/>
      <c r="E5" s="1"/>
      <c r="F5" s="1"/>
      <c r="G5" s="5"/>
      <c r="H5" s="5"/>
      <c r="I5" s="5"/>
      <c r="J5" s="5"/>
      <c r="L5" s="1">
        <f>+G5</f>
        <v>0</v>
      </c>
      <c r="M5" s="1">
        <f>+H5+I5</f>
        <v>0</v>
      </c>
      <c r="N5" s="2" t="e">
        <f t="shared" si="0"/>
        <v>#DIV/0!</v>
      </c>
    </row>
    <row r="6" spans="1:29" x14ac:dyDescent="0.25">
      <c r="A6" s="7"/>
      <c r="B6" s="8"/>
      <c r="C6" s="8"/>
      <c r="E6" s="8"/>
      <c r="F6" s="8"/>
      <c r="G6" s="9"/>
      <c r="H6" s="9"/>
      <c r="I6" s="9"/>
      <c r="J6" s="9"/>
      <c r="L6" s="1">
        <f>+L5</f>
        <v>0</v>
      </c>
      <c r="M6" s="1">
        <f>+H6+I6+M5</f>
        <v>0</v>
      </c>
      <c r="N6" s="2" t="e">
        <f t="shared" si="0"/>
        <v>#DIV/0!</v>
      </c>
    </row>
    <row r="7" spans="1:29" x14ac:dyDescent="0.25">
      <c r="A7" s="7"/>
      <c r="B7" s="1"/>
      <c r="C7" s="1"/>
      <c r="D7" s="1"/>
      <c r="E7" s="1"/>
      <c r="F7" s="8"/>
      <c r="G7" s="9"/>
      <c r="H7" s="9"/>
      <c r="I7" s="9"/>
      <c r="J7" s="9"/>
      <c r="L7" s="1">
        <f>+L6</f>
        <v>0</v>
      </c>
      <c r="M7" s="1">
        <f>+H7+I7+M6</f>
        <v>0</v>
      </c>
      <c r="N7" s="2" t="e">
        <f t="shared" si="0"/>
        <v>#DIV/0!</v>
      </c>
    </row>
    <row r="8" spans="1:29" x14ac:dyDescent="0.25">
      <c r="N8" s="2" t="e">
        <f t="shared" si="0"/>
        <v>#DIV/0!</v>
      </c>
    </row>
    <row r="9" spans="1:29" x14ac:dyDescent="0.25">
      <c r="N9" s="2" t="e">
        <f t="shared" si="0"/>
        <v>#DIV/0!</v>
      </c>
    </row>
    <row r="10" spans="1:29" x14ac:dyDescent="0.25">
      <c r="N10" s="2" t="e">
        <f t="shared" si="0"/>
        <v>#DIV/0!</v>
      </c>
    </row>
    <row r="11" spans="1:29" x14ac:dyDescent="0.25">
      <c r="N11" s="2" t="e">
        <f t="shared" si="0"/>
        <v>#DIV/0!</v>
      </c>
    </row>
    <row r="12" spans="1:29" x14ac:dyDescent="0.25">
      <c r="N12" s="2" t="e">
        <f t="shared" si="0"/>
        <v>#DIV/0!</v>
      </c>
    </row>
    <row r="13" spans="1:29" x14ac:dyDescent="0.25">
      <c r="N13" s="2" t="e">
        <f t="shared" si="0"/>
        <v>#DIV/0!</v>
      </c>
    </row>
    <row r="14" spans="1:29" x14ac:dyDescent="0.25">
      <c r="N14" s="2" t="e">
        <f t="shared" si="0"/>
        <v>#DIV/0!</v>
      </c>
    </row>
    <row r="15" spans="1:29" x14ac:dyDescent="0.25">
      <c r="N15" s="2" t="e">
        <f t="shared" si="0"/>
        <v>#DIV/0!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C67B-B733-4399-93E8-A31F7DA7B185}">
  <dimension ref="A1:AC15"/>
  <sheetViews>
    <sheetView workbookViewId="0">
      <selection activeCell="E13" sqref="E13"/>
    </sheetView>
  </sheetViews>
  <sheetFormatPr defaultRowHeight="15" x14ac:dyDescent="0.25"/>
  <cols>
    <col min="1" max="1" width="13.5703125" style="3" bestFit="1" customWidth="1"/>
    <col min="2" max="2" width="8.140625" style="3" bestFit="1" customWidth="1"/>
    <col min="3" max="3" width="13.42578125" style="3" bestFit="1" customWidth="1"/>
    <col min="4" max="4" width="8" style="3" bestFit="1" customWidth="1"/>
    <col min="5" max="5" width="13.5703125" style="3" bestFit="1" customWidth="1"/>
    <col min="6" max="6" width="19.28515625" style="3" customWidth="1"/>
    <col min="7" max="9" width="6" style="3" bestFit="1" customWidth="1"/>
    <col min="10" max="10" width="8" style="3" bestFit="1" customWidth="1"/>
    <col min="11" max="11" width="2.140625" style="3" customWidth="1"/>
    <col min="12" max="13" width="6" style="3" bestFit="1" customWidth="1"/>
    <col min="14" max="14" width="7.28515625" style="10" bestFit="1" customWidth="1"/>
    <col min="15" max="16384" width="9.140625" style="3"/>
  </cols>
  <sheetData>
    <row r="1" spans="1:29" ht="26.2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/>
      <c r="L1" s="1" t="s">
        <v>10</v>
      </c>
      <c r="M1" s="1" t="s">
        <v>16</v>
      </c>
      <c r="N1" s="2" t="s">
        <v>15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4">
        <v>46056.581944444442</v>
      </c>
      <c r="B2" s="1" t="s">
        <v>33</v>
      </c>
      <c r="C2" s="1" t="s">
        <v>34</v>
      </c>
      <c r="D2" s="1">
        <v>8007616</v>
      </c>
      <c r="E2" s="1" t="s">
        <v>35</v>
      </c>
      <c r="F2" s="1" t="s">
        <v>30</v>
      </c>
      <c r="G2" s="5">
        <v>56842</v>
      </c>
      <c r="H2" s="5">
        <v>27835</v>
      </c>
      <c r="I2" s="5">
        <v>12579</v>
      </c>
      <c r="J2" s="5">
        <v>10274</v>
      </c>
      <c r="K2" s="1"/>
      <c r="L2" s="1">
        <f>+G2</f>
        <v>56842</v>
      </c>
      <c r="M2" s="1">
        <f>+H2+I2</f>
        <v>40414</v>
      </c>
      <c r="N2" s="2">
        <f>+M2/L2</f>
        <v>0.71098835368213642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4">
        <v>46058.372916666667</v>
      </c>
      <c r="B3" s="1" t="s">
        <v>33</v>
      </c>
      <c r="C3" s="1" t="s">
        <v>34</v>
      </c>
      <c r="D3" s="1">
        <v>8007616</v>
      </c>
      <c r="E3" s="1" t="s">
        <v>35</v>
      </c>
      <c r="F3" s="1" t="s">
        <v>36</v>
      </c>
      <c r="G3" s="5">
        <v>10274</v>
      </c>
      <c r="H3" s="5">
        <v>2142</v>
      </c>
      <c r="I3" s="5">
        <v>1329</v>
      </c>
      <c r="J3" s="5">
        <v>6822</v>
      </c>
      <c r="K3" s="1"/>
      <c r="L3" s="1">
        <f>+L2</f>
        <v>56842</v>
      </c>
      <c r="M3" s="1">
        <f>+H3+I3+M2</f>
        <v>43885</v>
      </c>
      <c r="N3" s="2">
        <f t="shared" ref="N3:N7" si="0">+M3/L3</f>
        <v>0.77205235565251051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4">
        <v>46059.420138888891</v>
      </c>
      <c r="B4" s="11" t="s">
        <v>33</v>
      </c>
      <c r="C4" s="1" t="s">
        <v>34</v>
      </c>
      <c r="D4" s="1">
        <v>8007616</v>
      </c>
      <c r="E4" s="11" t="s">
        <v>35</v>
      </c>
      <c r="F4" s="1" t="s">
        <v>37</v>
      </c>
      <c r="G4" s="5">
        <v>6820</v>
      </c>
      <c r="H4" s="5">
        <v>300</v>
      </c>
      <c r="I4" s="5">
        <v>390</v>
      </c>
      <c r="J4" s="5">
        <v>6110</v>
      </c>
      <c r="L4" s="1">
        <f>+L3</f>
        <v>56842</v>
      </c>
      <c r="M4" s="1">
        <f>+H4+I4+M3</f>
        <v>44575</v>
      </c>
      <c r="N4" s="2">
        <f t="shared" si="0"/>
        <v>0.78419126702086484</v>
      </c>
    </row>
    <row r="5" spans="1:29" x14ac:dyDescent="0.25">
      <c r="A5" s="4">
        <v>46057.575821759259</v>
      </c>
      <c r="B5" s="1" t="s">
        <v>38</v>
      </c>
      <c r="C5" s="1" t="s">
        <v>34</v>
      </c>
      <c r="D5" s="1">
        <v>8007616</v>
      </c>
      <c r="E5" s="1" t="s">
        <v>39</v>
      </c>
      <c r="F5" s="8" t="s">
        <v>41</v>
      </c>
      <c r="G5" s="5">
        <v>26013</v>
      </c>
      <c r="H5" s="5">
        <v>14906</v>
      </c>
      <c r="I5" s="5">
        <v>1989</v>
      </c>
      <c r="J5" s="5">
        <v>8710</v>
      </c>
      <c r="L5" s="1">
        <f>+G5</f>
        <v>26013</v>
      </c>
      <c r="M5" s="1">
        <f>+H5+I5</f>
        <v>16895</v>
      </c>
      <c r="N5" s="2">
        <f t="shared" si="0"/>
        <v>0.64948295083227614</v>
      </c>
    </row>
    <row r="6" spans="1:29" x14ac:dyDescent="0.25">
      <c r="A6" s="7">
        <v>46060.636805555558</v>
      </c>
      <c r="B6" s="8" t="s">
        <v>38</v>
      </c>
      <c r="C6" s="8" t="s">
        <v>34</v>
      </c>
      <c r="D6" s="3">
        <v>8007616</v>
      </c>
      <c r="E6" s="8" t="s">
        <v>39</v>
      </c>
      <c r="F6" s="8" t="s">
        <v>42</v>
      </c>
      <c r="G6" s="9">
        <v>11677</v>
      </c>
      <c r="H6" s="9">
        <v>6458</v>
      </c>
      <c r="I6" s="9">
        <v>890</v>
      </c>
      <c r="J6" s="9">
        <v>4259</v>
      </c>
      <c r="L6" s="1">
        <f>+L5+G6-J5</f>
        <v>28980</v>
      </c>
      <c r="M6" s="1">
        <f>+H6+I6+M5</f>
        <v>24243</v>
      </c>
      <c r="N6" s="2">
        <f t="shared" si="0"/>
        <v>0.83654244306418224</v>
      </c>
    </row>
    <row r="7" spans="1:29" x14ac:dyDescent="0.25">
      <c r="A7" s="7">
        <v>46062.354861111111</v>
      </c>
      <c r="B7" s="1" t="s">
        <v>38</v>
      </c>
      <c r="C7" s="1" t="s">
        <v>34</v>
      </c>
      <c r="D7" s="1">
        <v>8007616</v>
      </c>
      <c r="E7" s="1" t="s">
        <v>39</v>
      </c>
      <c r="F7" s="8" t="s">
        <v>43</v>
      </c>
      <c r="G7" s="9">
        <v>4257</v>
      </c>
      <c r="H7" s="9">
        <v>1212</v>
      </c>
      <c r="I7" s="9">
        <v>281</v>
      </c>
      <c r="J7" s="9">
        <v>2758</v>
      </c>
      <c r="L7" s="1">
        <f>+L6</f>
        <v>28980</v>
      </c>
      <c r="M7" s="1">
        <f>+H7+I7+M6</f>
        <v>25736</v>
      </c>
      <c r="N7" s="2">
        <f t="shared" si="0"/>
        <v>0.88806073153899245</v>
      </c>
    </row>
    <row r="8" spans="1:29" x14ac:dyDescent="0.25">
      <c r="A8" s="7">
        <v>46062.621631944443</v>
      </c>
      <c r="B8" s="8" t="s">
        <v>38</v>
      </c>
      <c r="C8" s="8" t="s">
        <v>34</v>
      </c>
      <c r="D8" s="3">
        <v>8007616</v>
      </c>
      <c r="E8" s="8" t="s">
        <v>39</v>
      </c>
      <c r="F8" s="8" t="s">
        <v>44</v>
      </c>
      <c r="G8" s="3">
        <v>2723</v>
      </c>
      <c r="H8" s="3">
        <v>177</v>
      </c>
      <c r="I8" s="3">
        <v>151</v>
      </c>
      <c r="J8" s="3">
        <v>2388</v>
      </c>
      <c r="L8" s="1">
        <f>+L7</f>
        <v>28980</v>
      </c>
      <c r="M8" s="1">
        <f>+H8+I8+M7</f>
        <v>26064</v>
      </c>
      <c r="N8" s="2">
        <f t="shared" ref="N8" si="1">+M8/L8</f>
        <v>0.89937888198757765</v>
      </c>
    </row>
    <row r="9" spans="1:29" x14ac:dyDescent="0.25">
      <c r="B9" s="1" t="s">
        <v>38</v>
      </c>
      <c r="C9" s="1" t="s">
        <v>34</v>
      </c>
      <c r="E9" s="1" t="s">
        <v>39</v>
      </c>
      <c r="F9" s="8" t="s">
        <v>40</v>
      </c>
      <c r="N9" s="2"/>
    </row>
    <row r="10" spans="1:29" x14ac:dyDescent="0.25">
      <c r="N10" s="2"/>
    </row>
    <row r="11" spans="1:29" x14ac:dyDescent="0.25">
      <c r="N11" s="2"/>
    </row>
    <row r="12" spans="1:29" x14ac:dyDescent="0.25">
      <c r="N12" s="2"/>
    </row>
    <row r="13" spans="1:29" x14ac:dyDescent="0.25">
      <c r="N13" s="2"/>
    </row>
    <row r="14" spans="1:29" x14ac:dyDescent="0.25">
      <c r="N14" s="2"/>
    </row>
    <row r="15" spans="1:29" x14ac:dyDescent="0.25">
      <c r="N15" s="2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TGWDSXX959</vt:lpstr>
      <vt:lpstr>TGWD13A84</vt:lpstr>
      <vt:lpstr>TGWBS00R31</vt:lpstr>
      <vt:lpstr>TGWBS02G30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Licas</dc:creator>
  <cp:lastModifiedBy>Richard Licas</cp:lastModifiedBy>
  <dcterms:created xsi:type="dcterms:W3CDTF">2026-02-10T17:19:22Z</dcterms:created>
  <dcterms:modified xsi:type="dcterms:W3CDTF">2026-02-10T19:01:27Z</dcterms:modified>
</cp:coreProperties>
</file>